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te Checks" sheetId="1" state="visible" r:id="rId3"/>
    <sheet name="Data Findings" sheetId="2" state="visible" r:id="rId4"/>
    <sheet name="Assumptions Log" sheetId="3" state="visible" r:id="rId5"/>
    <sheet name="Metric Dictionary" sheetId="4" state="visible" r:id="rId6"/>
    <sheet name="Validation Resul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<sst xmlns="http://schemas.openxmlformats.org/spreadsheetml/2006/main" count="332" uniqueCount="247">
  <si>
    <t xml:space="preserve">Phase 0 Feasibility Checks: YouTube Content Strategy</t>
  </si>
  <si>
    <t xml:space="preserve">Blue = value from the Phase 0 checks run on the uploaded CSVs (videos-stats.csv, comments.csv). Black = formula. Gate thresholds are rules of thumb, not hard standards.</t>
  </si>
  <si>
    <t xml:space="preserve">Metric</t>
  </si>
  <si>
    <t xml:space="preserve">Value</t>
  </si>
  <si>
    <t xml:space="preserve">Gate</t>
  </si>
  <si>
    <t xml:space="preserve">Status</t>
  </si>
  <si>
    <t xml:space="preserve">Notes</t>
  </si>
  <si>
    <t xml:space="preserve">Video rows</t>
  </si>
  <si>
    <t xml:space="preserve">Rows in videos-stats.csv</t>
  </si>
  <si>
    <t xml:space="preserve">Unique video IDs</t>
  </si>
  <si>
    <t xml:space="preserve">Extra rows from duplicate IDs</t>
  </si>
  <si>
    <t xml:space="preserve">12 IDs appear under two keywords each</t>
  </si>
  <si>
    <t xml:space="preserve">Distinct keywords</t>
  </si>
  <si>
    <t xml:space="preserve">About 50 videos per keyword, so keyword is a sampling artifact</t>
  </si>
  <si>
    <t xml:space="preserve">Comment rows</t>
  </si>
  <si>
    <t xml:space="preserve">Rows in comments.csv</t>
  </si>
  <si>
    <t xml:space="preserve">Videos with comments</t>
  </si>
  <si>
    <t xml:space="preserve">Videos with 10+ comments</t>
  </si>
  <si>
    <t xml:space="preserve">Gate: at least 100 videos</t>
  </si>
  <si>
    <t xml:space="preserve">Share of videos with 10+ comments</t>
  </si>
  <si>
    <t xml:space="preserve">Share of videos that have comments</t>
  </si>
  <si>
    <t xml:space="preserve">Positive comments (%)</t>
  </si>
  <si>
    <t xml:space="preserve">Sentiment = 2</t>
  </si>
  <si>
    <t xml:space="preserve">Neutral comments (%)</t>
  </si>
  <si>
    <t xml:space="preserve">Sentiment = 1</t>
  </si>
  <si>
    <t xml:space="preserve">Negative comments (%)</t>
  </si>
  <si>
    <t xml:space="preserve">Gate: at least 5% negative. Sentiment = 0</t>
  </si>
  <si>
    <t xml:space="preserve">Hidden likes (-1)</t>
  </si>
  <si>
    <t xml:space="preserve">Excluded from like-based metrics</t>
  </si>
  <si>
    <t xml:space="preserve">Comments disabled (-1)</t>
  </si>
  <si>
    <t xml:space="preserve">Keep as its own flag</t>
  </si>
  <si>
    <t xml:space="preserve">Fully blank rows</t>
  </si>
  <si>
    <t xml:space="preserve">Both are 'machine learning'; dropped by the views &gt; 0 filter</t>
  </si>
  <si>
    <t xml:space="preserve">Overall gate result</t>
  </si>
  <si>
    <t xml:space="preserve">What the data changes about the analysis</t>
  </si>
  <si>
    <t xml:space="preserve">#</t>
  </si>
  <si>
    <t xml:space="preserve">Finding</t>
  </si>
  <si>
    <t xml:space="preserve">Evidence</t>
  </si>
  <si>
    <t xml:space="preserve">Impact / action</t>
  </si>
  <si>
    <t xml:space="preserve">Keyword is a collection artifact</t>
  </si>
  <si>
    <t xml:space="preserve">Most keywords have about 50 videos; 'mathchemistry' (15) looks like a merged term</t>
  </si>
  <si>
    <t xml:space="preserve">Use keyword as a topic grouping only. Don't read video counts as topic popularity. Decide whether to keep 'mathchemistry' separate.</t>
  </si>
  <si>
    <t xml:space="preserve">Duplicate video IDs across keywords</t>
  </si>
  <si>
    <t xml:space="preserve">12 IDs appear twice with different keywords; 8 of the 12 have identical views under both keywords, and 4 have different view counts</t>
  </si>
  <si>
    <t xml:space="preserve">Keep the highest-views row per video_id; break ties alphabetically by keyword (binary order) so results are repeatable. Log as under 1% of rows.</t>
  </si>
  <si>
    <t xml:space="preserve">Comments are a fixed sample (about 10 per video)</t>
  </si>
  <si>
    <t xml:space="preserve">Median 10, max 20; 863 videos have zero negative comments; the 90th-percentile negative share is 40%, flagging 198 of the 1,759 scored videos</t>
  </si>
  <si>
    <t xml:space="preserve">Sentiment shares move in 10% steps. Sample selection is unknown, so state this limitation.</t>
  </si>
  <si>
    <t xml:space="preserve">Endorsed negative comments are sparse</t>
  </si>
  <si>
    <t xml:space="preserve">90th-percentile comment likes is about 1,256; gives 319 endorsed negative comments across 233 videos overall (318 across 232 among scored videos)</t>
  </si>
  <si>
    <t xml:space="preserve">Capture curve will work. Run a sensitivity test at the 75th percentile.</t>
  </si>
  <si>
    <t xml:space="preserve">Views are extremely skewed</t>
  </si>
  <si>
    <t xml:space="preserve">Median about 592K, mean about 11.6M, max about 4 billion</t>
  </si>
  <si>
    <t xml:space="preserve">Use medians and percentile ranks, not averages.</t>
  </si>
  <si>
    <t xml:space="preserve">Most videos are recent</t>
  </si>
  <si>
    <t xml:space="preserve">1,202 videos published in 2022; latest date 2022-08-24</t>
  </si>
  <si>
    <t xml:space="preserve">Suggests a late-August 2022 snapshot (inferred). Document it as the reference date for age-based metrics.</t>
  </si>
  <si>
    <t xml:space="preserve">Titles contain HTML entities</t>
  </si>
  <si>
    <t xml:space="preserve">Examples: &amp;#39; and &amp;amp;</t>
  </si>
  <si>
    <t xml:space="preserve">v_clean decodes the five common entities (&amp;#39;, &amp;amp;, &amp;quot;, &amp;lt;, &amp;gt;) so dashboards read cleanly.</t>
  </si>
  <si>
    <t xml:space="preserve">Assumptions Log</t>
  </si>
  <si>
    <t xml:space="preserve">Status: Decided / To test / Open. Blue = a value or choice made by the author. "Where" = the script or dashboard that uses it.</t>
  </si>
  <si>
    <t xml:space="preserve">Item</t>
  </si>
  <si>
    <t xml:space="preserve">Rationale</t>
  </si>
  <si>
    <t xml:space="preserve">Where</t>
  </si>
  <si>
    <t xml:space="preserve">Duplicate video_id rule</t>
  </si>
  <si>
    <t xml:space="preserve">Keep highest-views row; ties broken alphabetically by keyword (binary order)</t>
  </si>
  <si>
    <t xml:space="preserve">12 IDs affected, under 1% of rows. 8 of 12 tie on views, so an explicit tie-break is needed for repeatable keyword assignment (without it, results changed between runs)</t>
  </si>
  <si>
    <t xml:space="preserve">Decided</t>
  </si>
  <si>
    <t xml:space="preserve">01 v_clean</t>
  </si>
  <si>
    <t xml:space="preserve">Blank rows</t>
  </si>
  <si>
    <t xml:space="preserve">Drop rows with NULL or zero views</t>
  </si>
  <si>
    <t xml:space="preserve">2 fully blank rows (both keyword "machine learning") have nothing to measure</t>
  </si>
  <si>
    <t xml:space="preserve">Hidden likes / disabled comments</t>
  </si>
  <si>
    <t xml:space="preserve">Convert -1 to NULL; keep comments_disabled as a flag; exclude from engagement metrics</t>
  </si>
  <si>
    <t xml:space="preserve">7 videos hidden likes, 2 comments disabled. Leaving NULLs in would rank them highest in PostgreSQL sorts. Leaves 1,858 scored videos</t>
  </si>
  <si>
    <t xml:space="preserve">01 v_clean, 02 v_metrics</t>
  </si>
  <si>
    <t xml:space="preserve">Comments-disabled comparison</t>
  </si>
  <si>
    <t xml:space="preserve">Not analyzed</t>
  </si>
  <si>
    <t xml:space="preserve">Only 2 videos; too few to compare</t>
  </si>
  <si>
    <t xml:space="preserve">n/a</t>
  </si>
  <si>
    <t xml:space="preserve">Title cleanup</t>
  </si>
  <si>
    <t xml:space="preserve">Decode HTML entities in v_clean</t>
  </si>
  <si>
    <t xml:space="preserve">Entities like &amp;#39; and &amp;amp; appear in titles</t>
  </si>
  <si>
    <t xml:space="preserve">Minimum comments to score sentiment</t>
  </si>
  <si>
    <t xml:space="preserve">10</t>
  </si>
  <si>
    <t xml:space="preserve">Keeps 1,769 of 1,869 videos with comments; 1,759 after the engagement-metric exclusions</t>
  </si>
  <si>
    <t xml:space="preserve">01-03</t>
  </si>
  <si>
    <t xml:space="preserve">Sentiment labels</t>
  </si>
  <si>
    <t xml:space="preserve">Use as provided (0 neg, 1 neutral, 2 pos)</t>
  </si>
  <si>
    <t xml:space="preserve">Source and accuracy of labels are unknown; stated as a limitation</t>
  </si>
  <si>
    <t xml:space="preserve">README</t>
  </si>
  <si>
    <t xml:space="preserve">Statistic for skewed data</t>
  </si>
  <si>
    <t xml:space="preserve">Medians and percent ranks, not means</t>
  </si>
  <si>
    <t xml:space="preserve">Views: median ~592K, mean ~11.6M, max ~4B</t>
  </si>
  <si>
    <t xml:space="preserve">02 leaderboard</t>
  </si>
  <si>
    <t xml:space="preserve">Engagement rate</t>
  </si>
  <si>
    <t xml:space="preserve">(likes + comments) / views</t>
  </si>
  <si>
    <t xml:space="preserve">Standard ratio; avoids ranking only by size</t>
  </si>
  <si>
    <t xml:space="preserve">02 v_metrics</t>
  </si>
  <si>
    <t xml:space="preserve">Reach score</t>
  </si>
  <si>
    <t xml:space="preserve">views + likes + comments</t>
  </si>
  <si>
    <t xml:space="preserve">Kept as originally specified; in practice it ranks by views</t>
  </si>
  <si>
    <t xml:space="preserve">Quality score</t>
  </si>
  <si>
    <t xml:space="preserve">Average percent rank of views, like-to-view ratio and comment rate (equal weights)</t>
  </si>
  <si>
    <t xml:space="preserve">Simple and explainable; equal weights are an assumption</t>
  </si>
  <si>
    <t xml:space="preserve">02 v_scored</t>
  </si>
  <si>
    <t xml:space="preserve">Keyword leaderboard minimum</t>
  </si>
  <si>
    <t xml:space="preserve">At least 10 videos per keyword</t>
  </si>
  <si>
    <t xml:space="preserve">All 41 keywords qualify (about 50 each)</t>
  </si>
  <si>
    <t xml:space="preserve">02 v_keyword_leaderboard</t>
  </si>
  <si>
    <t xml:space="preserve">Keyword meaning</t>
  </si>
  <si>
    <t xml:space="preserve">Search term, not a content category</t>
  </si>
  <si>
    <t xml:space="preserve">~50 videos per keyword, some match song titles; findings describe search results</t>
  </si>
  <si>
    <t xml:space="preserve">'mathchemistry' keyword</t>
  </si>
  <si>
    <t xml:space="preserve">Keep separate or drop</t>
  </si>
  <si>
    <t xml:space="preserve">Merged term with 13-15 videos</t>
  </si>
  <si>
    <t xml:space="preserve">Open</t>
  </si>
  <si>
    <t xml:space="preserve">Data Findings #1</t>
  </si>
  <si>
    <t xml:space="preserve">Controversy proxy</t>
  </si>
  <si>
    <t xml:space="preserve">2 x min(% positive, % negative)</t>
  </si>
  <si>
    <t xml:space="preserve">No dislikes in the data; peaks when comments split evenly</t>
  </si>
  <si>
    <t xml:space="preserve">03 v_risk</t>
  </si>
  <si>
    <t xml:space="preserve">Negative-share flag threshold</t>
  </si>
  <si>
    <t xml:space="preserve">90th percentile (0.40)</t>
  </si>
  <si>
    <t xml:space="preserve">Flags 198 of 1,759 scored videos</t>
  </si>
  <si>
    <t xml:space="preserve">Endorsed negative cutoff</t>
  </si>
  <si>
    <t xml:space="preserve">Negative comments with likes &gt;= 90th percentile of comments with likes &gt; 0 (~1,256)</t>
  </si>
  <si>
    <t xml:space="preserve">318 comments across 232 videos among scored videos</t>
  </si>
  <si>
    <t xml:space="preserve">01 v_endorsed</t>
  </si>
  <si>
    <t xml:space="preserve">Endorsed negative sensitivity test</t>
  </si>
  <si>
    <t xml:space="preserve">75th percentile</t>
  </si>
  <si>
    <t xml:space="preserve">More signal; check whether conclusions hold</t>
  </si>
  <si>
    <t xml:space="preserve">To test</t>
  </si>
  <si>
    <t xml:space="preserve">Risk score</t>
  </si>
  <si>
    <t xml:space="preserve">Average percent rank of negative share and controversy (equal weights)</t>
  </si>
  <si>
    <t xml:space="preserve">Endorsed negatives are held out so the triage simulation is not circular</t>
  </si>
  <si>
    <t xml:space="preserve">Review priority</t>
  </si>
  <si>
    <t xml:space="preserve">risk_score x LN(1 + views)</t>
  </si>
  <si>
    <t xml:space="preserve">Log dampens extreme view counts while still favoring reach</t>
  </si>
  <si>
    <t xml:space="preserve">Keyword health minimum</t>
  </si>
  <si>
    <t xml:space="preserve">At least 5 scored videos per keyword</t>
  </si>
  <si>
    <t xml:space="preserve">All 41 keywords qualify</t>
  </si>
  <si>
    <t xml:space="preserve">03 v_keyword_health</t>
  </si>
  <si>
    <t xml:space="preserve">Health score weights (sentiment / flag rate / controversy)</t>
  </si>
  <si>
    <t xml:space="preserve">Default 40 / 30 / 30; sensitivity 60 / 20 / 20 and 20 / 40 / 40</t>
  </si>
  <si>
    <t xml:space="preserve">Weights are judgment calls. 38 of 41 keywords stay within 5 rank positions across the three sets (max spread 11)</t>
  </si>
  <si>
    <t xml:space="preserve">03; Tableau sliders</t>
  </si>
  <si>
    <t xml:space="preserve">Rounding for ties</t>
  </si>
  <si>
    <t xml:space="preserve">Averages to 10 decimals, health scores to 6</t>
  </si>
  <si>
    <t xml:space="preserve">Stops floating-point noise from creating false rank differences</t>
  </si>
  <si>
    <t xml:space="preserve">03</t>
  </si>
  <si>
    <t xml:space="preserve">Triage strategies compared</t>
  </si>
  <si>
    <t xml:space="preserve">Risk x reach; negativity then views; views only; ideal (hindsight upper bound); random (k / n)</t>
  </si>
  <si>
    <t xml:space="preserve">Ideal is an upper bound, random is the baseline. Ties in rankings broken by video_id</t>
  </si>
  <si>
    <t xml:space="preserve">03 v_capture</t>
  </si>
  <si>
    <t xml:space="preserve">Reference date for age-based metrics</t>
  </si>
  <si>
    <t xml:space="preserve">Late August 2022 (inferred)</t>
  </si>
  <si>
    <t xml:space="preserve">Latest publish date is 2022-08-24; no age-based metric is used in the final analysis</t>
  </si>
  <si>
    <t xml:space="preserve">To confirm</t>
  </si>
  <si>
    <t xml:space="preserve">Polarization scatter overlap</t>
  </si>
  <si>
    <t xml:space="preserve">Small display-only offset (jitter) on points in Tableau</t>
  </si>
  <si>
    <t xml:space="preserve">Sentiment shares move in 10% steps, so many points overlap; offsets do not change any data or table</t>
  </si>
  <si>
    <t xml:space="preserve">Tableau 3.x</t>
  </si>
  <si>
    <t xml:space="preserve">Published data</t>
  </si>
  <si>
    <t xml:space="preserve">Export views only; never the comments table</t>
  </si>
  <si>
    <t xml:space="preserve">Avoids publishing comment text</t>
  </si>
  <si>
    <t xml:space="preserve">Metric Dictionary</t>
  </si>
  <si>
    <t xml:space="preserve">Definitions used across the SQL scripts and Tableau dashboards.</t>
  </si>
  <si>
    <t xml:space="preserve">Definition</t>
  </si>
  <si>
    <t xml:space="preserve">Range</t>
  </si>
  <si>
    <t xml:space="preserve">Script / view</t>
  </si>
  <si>
    <t xml:space="preserve">0 and up</t>
  </si>
  <si>
    <t xml:space="preserve">Overall median about 0.030</t>
  </si>
  <si>
    <t xml:space="preserve">Like-to-view ratio</t>
  </si>
  <si>
    <t xml:space="preserve">likes / views</t>
  </si>
  <si>
    <t xml:space="preserve">0 to 1</t>
  </si>
  <si>
    <t xml:space="preserve">Comment rate</t>
  </si>
  <si>
    <t xml:space="preserve">comments / views</t>
  </si>
  <si>
    <t xml:space="preserve">Effectively a views ranking</t>
  </si>
  <si>
    <t xml:space="preserve">Average percent rank of views, like-to-view ratio, comment rate</t>
  </si>
  <si>
    <t xml:space="preserve">Higher is better</t>
  </si>
  <si>
    <t xml:space="preserve">Rank gap</t>
  </si>
  <si>
    <t xml:space="preserve">Reach rank minus quality rank</t>
  </si>
  <si>
    <t xml:space="preserve">Integer</t>
  </si>
  <si>
    <t xml:space="preserve">02 v_rank_compare</t>
  </si>
  <si>
    <t xml:space="preserve">Positive: quality outranks reach</t>
  </si>
  <si>
    <t xml:space="preserve">Net sentiment</t>
  </si>
  <si>
    <t xml:space="preserve">% positive minus % negative comments</t>
  </si>
  <si>
    <t xml:space="preserve">-1 to 1</t>
  </si>
  <si>
    <t xml:space="preserve">01 v_sentiment</t>
  </si>
  <si>
    <t xml:space="preserve">Needs 10+ comments</t>
  </si>
  <si>
    <t xml:space="preserve">Controversy (proxy)</t>
  </si>
  <si>
    <t xml:space="preserve">Peaks at a 50/50 split</t>
  </si>
  <si>
    <t xml:space="preserve">Negative flag</t>
  </si>
  <si>
    <t xml:space="preserve">Negative share at or above the 90th percentile (0.40)</t>
  </si>
  <si>
    <t xml:space="preserve">True / False</t>
  </si>
  <si>
    <t xml:space="preserve">198 videos</t>
  </si>
  <si>
    <t xml:space="preserve">Endorsed negatives</t>
  </si>
  <si>
    <t xml:space="preserve">Negative comments with likes at or above the 90th percentile of liked comments</t>
  </si>
  <si>
    <t xml:space="preserve">Count</t>
  </si>
  <si>
    <t xml:space="preserve">Held out of the risk score</t>
  </si>
  <si>
    <t xml:space="preserve">Average percent rank of negative share and controversy</t>
  </si>
  <si>
    <t xml:space="preserve">Priority</t>
  </si>
  <si>
    <t xml:space="preserve">Risk score x LN(1 + views)</t>
  </si>
  <si>
    <t xml:space="preserve">Used to order the review queue</t>
  </si>
  <si>
    <t xml:space="preserve">Health score (keyword)</t>
  </si>
  <si>
    <t xml:space="preserve">100 x weighted percent ranks of net sentiment, inverted flag rate, inverted controversy</t>
  </si>
  <si>
    <t xml:space="preserve">0 to 100</t>
  </si>
  <si>
    <t xml:space="preserve">03 v_keyword_health_scores</t>
  </si>
  <si>
    <t xml:space="preserve">Default weights 40 / 30 / 30</t>
  </si>
  <si>
    <t xml:space="preserve">Rank spread</t>
  </si>
  <si>
    <t xml:space="preserve">Max minus min keyword rank across the three weight sets</t>
  </si>
  <si>
    <t xml:space="preserve">Low means stable ranking</t>
  </si>
  <si>
    <t xml:space="preserve">Capture</t>
  </si>
  <si>
    <t xml:space="preserve">Share of all endorsed negatives found in the videos reviewed so far</t>
  </si>
  <si>
    <t xml:space="preserve">Per strategy and review count k</t>
  </si>
  <si>
    <t xml:space="preserve">Validation Results</t>
  </si>
  <si>
    <t xml:space="preserve">Expected values come from the script check queries. Observed (blue) = values reported from the author's PostgreSQL run; the author confirmed all checks matched. Status is a formula.</t>
  </si>
  <si>
    <t xml:space="preserve">Script</t>
  </si>
  <si>
    <t xml:space="preserve">Check</t>
  </si>
  <si>
    <t xml:space="preserve">Expected</t>
  </si>
  <si>
    <t xml:space="preserve">Observed</t>
  </si>
  <si>
    <t xml:space="preserve">Tolerance</t>
  </si>
  <si>
    <t xml:space="preserve">01</t>
  </si>
  <si>
    <t xml:space="preserve">v_clean rows</t>
  </si>
  <si>
    <t xml:space="preserve">Leftover duplicate video_ids</t>
  </si>
  <si>
    <t xml:space="preserve">Videos with endorsed negatives</t>
  </si>
  <si>
    <t xml:space="preserve">Endorsed negative comments</t>
  </si>
  <si>
    <t xml:space="preserve">Orphan comments</t>
  </si>
  <si>
    <t xml:space="preserve">02</t>
  </si>
  <si>
    <t xml:space="preserve">Scored videos</t>
  </si>
  <si>
    <t xml:space="preserve">Videos with sentiment</t>
  </si>
  <si>
    <t xml:space="preserve">Keywords in leaderboard</t>
  </si>
  <si>
    <t xml:space="preserve">Median engagement: crypto</t>
  </si>
  <si>
    <t xml:space="preserve">Median engagement: movies</t>
  </si>
  <si>
    <t xml:space="preserve">Overall median engagement</t>
  </si>
  <si>
    <t xml:space="preserve">Risk rows</t>
  </si>
  <si>
    <t xml:space="preserve">Flagged videos</t>
  </si>
  <si>
    <t xml:space="preserve">Endorsed negatives in v_risk</t>
  </si>
  <si>
    <t xml:space="preserve">Videos with endorsed negatives in v_risk</t>
  </si>
  <si>
    <t xml:space="preserve">Keywords scored</t>
  </si>
  <si>
    <t xml:space="preserve">Max rank spread</t>
  </si>
  <si>
    <t xml:space="preserve">Keywords with spread of 5 or less</t>
  </si>
  <si>
    <t xml:space="preserve">Checks matched</t>
  </si>
  <si>
    <t xml:space="preserve">Total checks</t>
  </si>
  <si>
    <t xml:space="preserve">Triage capture at 10% review capacity (176 videos) is in 03 check 9; it is approximate and not repeated here.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</si>
</sst>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"/>
    <numFmt numFmtId="168" formatCode="0.0000"/>
    <numFmt numFmtId="169" formatCode="0.00000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4" min="3" style="1" width="10"/>
    <col collapsed="false" customWidth="true" hidden="false" outlineLevel="0" max="5" min="5" style="1" width="5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 t="n">
        <v>1881</v>
      </c>
      <c r="C5" s="7"/>
      <c r="D5" s="7"/>
      <c r="E5" s="5" t="s">
        <v>8</v>
      </c>
    </row>
    <row r="6" customFormat="false" ht="15" hidden="false" customHeight="true" outlineLevel="0" collapsed="false">
      <c r="A6" s="5" t="s">
        <v>9</v>
      </c>
      <c r="B6" s="6" t="n">
        <v>1869</v>
      </c>
      <c r="C6" s="7"/>
      <c r="D6" s="7"/>
      <c r="E6" s="5"/>
    </row>
    <row r="7" customFormat="false" ht="15" hidden="false" customHeight="true" outlineLevel="0" collapsed="false">
      <c r="A7" s="5" t="s">
        <v>10</v>
      </c>
      <c r="B7" s="8" t="n">
        <f aca="false">B5-B6</f>
        <v>12</v>
      </c>
      <c r="C7" s="7"/>
      <c r="D7" s="7"/>
      <c r="E7" s="5" t="s">
        <v>11</v>
      </c>
    </row>
    <row r="8" customFormat="false" ht="15" hidden="false" customHeight="true" outlineLevel="0" collapsed="false">
      <c r="A8" s="5" t="s">
        <v>12</v>
      </c>
      <c r="B8" s="6" t="n">
        <v>41</v>
      </c>
      <c r="C8" s="7"/>
      <c r="D8" s="7"/>
      <c r="E8" s="5" t="s">
        <v>13</v>
      </c>
    </row>
    <row r="9" customFormat="false" ht="15" hidden="false" customHeight="true" outlineLevel="0" collapsed="false">
      <c r="A9" s="5" t="s">
        <v>14</v>
      </c>
      <c r="B9" s="6" t="n">
        <v>18409</v>
      </c>
      <c r="C9" s="7"/>
      <c r="D9" s="7"/>
      <c r="E9" s="5" t="s">
        <v>15</v>
      </c>
    </row>
    <row r="10" customFormat="false" ht="15" hidden="false" customHeight="true" outlineLevel="0" collapsed="false">
      <c r="A10" s="5" t="s">
        <v>16</v>
      </c>
      <c r="B10" s="6" t="n">
        <v>1869</v>
      </c>
      <c r="C10" s="7"/>
      <c r="D10" s="7"/>
      <c r="E10" s="5"/>
    </row>
    <row r="11" customFormat="false" ht="15" hidden="false" customHeight="true" outlineLevel="0" collapsed="false">
      <c r="A11" s="5" t="s">
        <v>17</v>
      </c>
      <c r="B11" s="6" t="n">
        <v>1769</v>
      </c>
      <c r="C11" s="6" t="n">
        <v>100</v>
      </c>
      <c r="D11" s="9" t="str">
        <f aca="false">IF(B11&gt;=C11,"Pass","Fail")</f>
        <v>Pass</v>
      </c>
      <c r="E11" s="5" t="s">
        <v>18</v>
      </c>
    </row>
    <row r="12" customFormat="false" ht="15" hidden="false" customHeight="true" outlineLevel="0" collapsed="false">
      <c r="A12" s="5" t="s">
        <v>19</v>
      </c>
      <c r="B12" s="10" t="n">
        <f aca="false">B11/B10</f>
        <v>0.94649545211343</v>
      </c>
      <c r="C12" s="7"/>
      <c r="D12" s="7"/>
      <c r="E12" s="5" t="s">
        <v>20</v>
      </c>
    </row>
    <row r="13" customFormat="false" ht="15" hidden="false" customHeight="true" outlineLevel="0" collapsed="false">
      <c r="A13" s="5" t="s">
        <v>21</v>
      </c>
      <c r="B13" s="11" t="n">
        <v>0.621</v>
      </c>
      <c r="C13" s="7"/>
      <c r="D13" s="7"/>
      <c r="E13" s="5" t="s">
        <v>22</v>
      </c>
    </row>
    <row r="14" customFormat="false" ht="15" hidden="false" customHeight="true" outlineLevel="0" collapsed="false">
      <c r="A14" s="5" t="s">
        <v>23</v>
      </c>
      <c r="B14" s="11" t="n">
        <v>0.252</v>
      </c>
      <c r="C14" s="7"/>
      <c r="D14" s="7"/>
      <c r="E14" s="5" t="s">
        <v>24</v>
      </c>
    </row>
    <row r="15" customFormat="false" ht="15" hidden="false" customHeight="true" outlineLevel="0" collapsed="false">
      <c r="A15" s="5" t="s">
        <v>25</v>
      </c>
      <c r="B15" s="11" t="n">
        <v>0.127</v>
      </c>
      <c r="C15" s="11" t="n">
        <v>0.05</v>
      </c>
      <c r="D15" s="9" t="str">
        <f aca="false">IF(B15&gt;=C15,"Pass","Fail")</f>
        <v>Pass</v>
      </c>
      <c r="E15" s="5" t="s">
        <v>26</v>
      </c>
    </row>
    <row r="16" customFormat="false" ht="15" hidden="false" customHeight="true" outlineLevel="0" collapsed="false">
      <c r="A16" s="5" t="s">
        <v>27</v>
      </c>
      <c r="B16" s="6" t="n">
        <v>7</v>
      </c>
      <c r="C16" s="7"/>
      <c r="D16" s="7"/>
      <c r="E16" s="5" t="s">
        <v>28</v>
      </c>
    </row>
    <row r="17" customFormat="false" ht="15" hidden="false" customHeight="true" outlineLevel="0" collapsed="false">
      <c r="A17" s="5" t="s">
        <v>29</v>
      </c>
      <c r="B17" s="6" t="n">
        <v>2</v>
      </c>
      <c r="C17" s="7"/>
      <c r="D17" s="7"/>
      <c r="E17" s="5" t="s">
        <v>30</v>
      </c>
    </row>
    <row r="18" customFormat="false" ht="15" hidden="false" customHeight="true" outlineLevel="0" collapsed="false">
      <c r="A18" s="5" t="s">
        <v>31</v>
      </c>
      <c r="B18" s="6" t="n">
        <v>2</v>
      </c>
      <c r="C18" s="7"/>
      <c r="D18" s="7"/>
      <c r="E18" s="5" t="s">
        <v>32</v>
      </c>
    </row>
    <row r="20" customFormat="false" ht="15" hidden="false" customHeight="true" outlineLevel="0" collapsed="false">
      <c r="A20" s="12" t="s">
        <v>33</v>
      </c>
      <c r="B20" s="13" t="str">
        <f aca="false">IF(AND(D11="Pass",D15="Pass"),"GO: Option C","Fall back to Option A")</f>
        <v>GO: Option C</v>
      </c>
      <c r="C20" s="13"/>
    </row>
  </sheetData>
  <mergeCells count="1"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52"/>
    <col collapsed="false" customWidth="true" hidden="false" outlineLevel="0" max="4" min="4" style="1" width="62"/>
  </cols>
  <sheetData>
    <row r="1" customFormat="false" ht="17.25" hidden="false" customHeight="true" outlineLevel="0" collapsed="false">
      <c r="A1" s="2" t="s">
        <v>34</v>
      </c>
    </row>
    <row r="3" customFormat="false" ht="15" hidden="false" customHeight="true" outlineLevel="0" collapsed="false">
      <c r="A3" s="4" t="s">
        <v>35</v>
      </c>
      <c r="B3" s="4" t="s">
        <v>36</v>
      </c>
      <c r="C3" s="4" t="s">
        <v>37</v>
      </c>
      <c r="D3" s="4" t="s">
        <v>38</v>
      </c>
    </row>
    <row r="4" customFormat="false" ht="23.25" hidden="false" customHeight="true" outlineLevel="0" collapsed="false">
      <c r="A4" s="5" t="n">
        <v>1</v>
      </c>
      <c r="B4" s="5" t="s">
        <v>39</v>
      </c>
      <c r="C4" s="5" t="s">
        <v>40</v>
      </c>
      <c r="D4" s="5" t="s">
        <v>41</v>
      </c>
    </row>
    <row r="5" customFormat="false" ht="23.25" hidden="false" customHeight="true" outlineLevel="0" collapsed="false">
      <c r="A5" s="5" t="n">
        <v>2</v>
      </c>
      <c r="B5" s="5" t="s">
        <v>42</v>
      </c>
      <c r="C5" s="5" t="s">
        <v>43</v>
      </c>
      <c r="D5" s="5" t="s">
        <v>44</v>
      </c>
    </row>
    <row r="6" customFormat="false" ht="23.25" hidden="false" customHeight="true" outlineLevel="0" collapsed="false">
      <c r="A6" s="5" t="n">
        <v>3</v>
      </c>
      <c r="B6" s="5" t="s">
        <v>45</v>
      </c>
      <c r="C6" s="5" t="s">
        <v>46</v>
      </c>
      <c r="D6" s="5" t="s">
        <v>47</v>
      </c>
    </row>
    <row r="7" customFormat="false" ht="23.25" hidden="false" customHeight="true" outlineLevel="0" collapsed="false">
      <c r="A7" s="5" t="n">
        <v>4</v>
      </c>
      <c r="B7" s="5" t="s">
        <v>48</v>
      </c>
      <c r="C7" s="5" t="s">
        <v>49</v>
      </c>
      <c r="D7" s="5" t="s">
        <v>50</v>
      </c>
    </row>
    <row r="8" customFormat="false" ht="15" hidden="false" customHeight="true" outlineLevel="0" collapsed="false">
      <c r="A8" s="5" t="n">
        <v>5</v>
      </c>
      <c r="B8" s="5" t="s">
        <v>51</v>
      </c>
      <c r="C8" s="5" t="s">
        <v>52</v>
      </c>
      <c r="D8" s="5" t="s">
        <v>53</v>
      </c>
    </row>
    <row r="9" customFormat="false" ht="23.25" hidden="false" customHeight="true" outlineLevel="0" collapsed="false">
      <c r="A9" s="5" t="n">
        <v>6</v>
      </c>
      <c r="B9" s="5" t="s">
        <v>54</v>
      </c>
      <c r="C9" s="5" t="s">
        <v>55</v>
      </c>
      <c r="D9" s="5" t="s">
        <v>56</v>
      </c>
    </row>
    <row r="10" customFormat="false" ht="23.25" hidden="false" customHeight="true" outlineLevel="0" collapsed="false">
      <c r="A10" s="5" t="n">
        <v>7</v>
      </c>
      <c r="B10" s="5" t="s">
        <v>57</v>
      </c>
      <c r="C10" s="5" t="s">
        <v>58</v>
      </c>
      <c r="D10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4" t="s">
        <v>60</v>
      </c>
    </row>
    <row r="2" customFormat="false" ht="15" hidden="false" customHeight="false" outlineLevel="0" collapsed="false">
      <c r="A2" s="15" t="s">
        <v>61</v>
      </c>
    </row>
    <row r="4" customFormat="false" ht="15" hidden="false" customHeight="false" outlineLevel="0" collapsed="false">
      <c r="A4" s="4" t="s">
        <v>62</v>
      </c>
      <c r="B4" s="4" t="s">
        <v>3</v>
      </c>
      <c r="C4" s="4" t="s">
        <v>63</v>
      </c>
      <c r="D4" s="4" t="s">
        <v>5</v>
      </c>
      <c r="E4" s="4" t="s">
        <v>64</v>
      </c>
    </row>
    <row r="5" customFormat="false" ht="35.05" hidden="false" customHeight="false" outlineLevel="0" collapsed="false">
      <c r="A5" s="5" t="s">
        <v>65</v>
      </c>
      <c r="B5" s="16" t="s">
        <v>66</v>
      </c>
      <c r="C5" s="5" t="s">
        <v>67</v>
      </c>
      <c r="D5" s="5" t="s">
        <v>68</v>
      </c>
      <c r="E5" s="5" t="s">
        <v>69</v>
      </c>
    </row>
    <row r="6" customFormat="false" ht="23.85" hidden="false" customHeight="false" outlineLevel="0" collapsed="false">
      <c r="A6" s="5" t="s">
        <v>70</v>
      </c>
      <c r="B6" s="16" t="s">
        <v>71</v>
      </c>
      <c r="C6" s="5" t="s">
        <v>72</v>
      </c>
      <c r="D6" s="5" t="s">
        <v>68</v>
      </c>
      <c r="E6" s="5" t="s">
        <v>69</v>
      </c>
    </row>
    <row r="7" customFormat="false" ht="23.85" hidden="false" customHeight="false" outlineLevel="0" collapsed="false">
      <c r="A7" s="5" t="s">
        <v>73</v>
      </c>
      <c r="B7" s="16" t="s">
        <v>74</v>
      </c>
      <c r="C7" s="5" t="s">
        <v>75</v>
      </c>
      <c r="D7" s="5" t="s">
        <v>68</v>
      </c>
      <c r="E7" s="5" t="s">
        <v>76</v>
      </c>
    </row>
    <row r="8" customFormat="false" ht="15" hidden="false" customHeight="false" outlineLevel="0" collapsed="false">
      <c r="A8" s="5" t="s">
        <v>77</v>
      </c>
      <c r="B8" s="16" t="s">
        <v>78</v>
      </c>
      <c r="C8" s="5" t="s">
        <v>79</v>
      </c>
      <c r="D8" s="5" t="s">
        <v>68</v>
      </c>
      <c r="E8" s="5" t="s">
        <v>80</v>
      </c>
    </row>
    <row r="9" customFormat="false" ht="15" hidden="false" customHeight="false" outlineLevel="0" collapsed="false">
      <c r="A9" s="5" t="s">
        <v>81</v>
      </c>
      <c r="B9" s="16" t="s">
        <v>82</v>
      </c>
      <c r="C9" s="5" t="s">
        <v>83</v>
      </c>
      <c r="D9" s="5" t="s">
        <v>68</v>
      </c>
      <c r="E9" s="5" t="s">
        <v>69</v>
      </c>
    </row>
    <row r="10" customFormat="false" ht="23.85" hidden="false" customHeight="false" outlineLevel="0" collapsed="false">
      <c r="A10" s="5" t="s">
        <v>84</v>
      </c>
      <c r="B10" s="16" t="s">
        <v>85</v>
      </c>
      <c r="C10" s="5" t="s">
        <v>86</v>
      </c>
      <c r="D10" s="5" t="s">
        <v>68</v>
      </c>
      <c r="E10" s="5" t="s">
        <v>87</v>
      </c>
    </row>
    <row r="11" customFormat="false" ht="15" hidden="false" customHeight="false" outlineLevel="0" collapsed="false">
      <c r="A11" s="5" t="s">
        <v>88</v>
      </c>
      <c r="B11" s="16" t="s">
        <v>89</v>
      </c>
      <c r="C11" s="5" t="s">
        <v>90</v>
      </c>
      <c r="D11" s="5" t="s">
        <v>68</v>
      </c>
      <c r="E11" s="5" t="s">
        <v>91</v>
      </c>
    </row>
    <row r="12" customFormat="false" ht="15" hidden="false" customHeight="false" outlineLevel="0" collapsed="false">
      <c r="A12" s="5" t="s">
        <v>92</v>
      </c>
      <c r="B12" s="16" t="s">
        <v>93</v>
      </c>
      <c r="C12" s="5" t="s">
        <v>94</v>
      </c>
      <c r="D12" s="5" t="s">
        <v>68</v>
      </c>
      <c r="E12" s="5" t="s">
        <v>95</v>
      </c>
    </row>
    <row r="13" customFormat="false" ht="15" hidden="false" customHeight="false" outlineLevel="0" collapsed="false">
      <c r="A13" s="5" t="s">
        <v>96</v>
      </c>
      <c r="B13" s="16" t="s">
        <v>97</v>
      </c>
      <c r="C13" s="5" t="s">
        <v>98</v>
      </c>
      <c r="D13" s="5" t="s">
        <v>68</v>
      </c>
      <c r="E13" s="5" t="s">
        <v>99</v>
      </c>
    </row>
    <row r="14" customFormat="false" ht="15" hidden="false" customHeight="false" outlineLevel="0" collapsed="false">
      <c r="A14" s="5" t="s">
        <v>100</v>
      </c>
      <c r="B14" s="16" t="s">
        <v>101</v>
      </c>
      <c r="C14" s="5" t="s">
        <v>102</v>
      </c>
      <c r="D14" s="5" t="s">
        <v>68</v>
      </c>
      <c r="E14" s="5" t="s">
        <v>99</v>
      </c>
    </row>
    <row r="15" customFormat="false" ht="23.85" hidden="false" customHeight="false" outlineLevel="0" collapsed="false">
      <c r="A15" s="5" t="s">
        <v>103</v>
      </c>
      <c r="B15" s="16" t="s">
        <v>104</v>
      </c>
      <c r="C15" s="5" t="s">
        <v>105</v>
      </c>
      <c r="D15" s="5" t="s">
        <v>68</v>
      </c>
      <c r="E15" s="5" t="s">
        <v>106</v>
      </c>
    </row>
    <row r="16" customFormat="false" ht="15" hidden="false" customHeight="false" outlineLevel="0" collapsed="false">
      <c r="A16" s="5" t="s">
        <v>107</v>
      </c>
      <c r="B16" s="16" t="s">
        <v>108</v>
      </c>
      <c r="C16" s="5" t="s">
        <v>109</v>
      </c>
      <c r="D16" s="5" t="s">
        <v>68</v>
      </c>
      <c r="E16" s="5" t="s">
        <v>110</v>
      </c>
    </row>
    <row r="17" customFormat="false" ht="23.85" hidden="false" customHeight="false" outlineLevel="0" collapsed="false">
      <c r="A17" s="5" t="s">
        <v>111</v>
      </c>
      <c r="B17" s="16" t="s">
        <v>112</v>
      </c>
      <c r="C17" s="5" t="s">
        <v>113</v>
      </c>
      <c r="D17" s="5" t="s">
        <v>68</v>
      </c>
      <c r="E17" s="5" t="s">
        <v>91</v>
      </c>
    </row>
    <row r="18" customFormat="false" ht="15" hidden="false" customHeight="false" outlineLevel="0" collapsed="false">
      <c r="A18" s="5" t="s">
        <v>114</v>
      </c>
      <c r="B18" s="16" t="s">
        <v>115</v>
      </c>
      <c r="C18" s="5" t="s">
        <v>116</v>
      </c>
      <c r="D18" s="5" t="s">
        <v>117</v>
      </c>
      <c r="E18" s="5" t="s">
        <v>118</v>
      </c>
    </row>
    <row r="19" customFormat="false" ht="15" hidden="false" customHeight="false" outlineLevel="0" collapsed="false">
      <c r="A19" s="5" t="s">
        <v>119</v>
      </c>
      <c r="B19" s="16" t="s">
        <v>120</v>
      </c>
      <c r="C19" s="5" t="s">
        <v>121</v>
      </c>
      <c r="D19" s="5" t="s">
        <v>68</v>
      </c>
      <c r="E19" s="5" t="s">
        <v>122</v>
      </c>
    </row>
    <row r="20" customFormat="false" ht="15" hidden="false" customHeight="false" outlineLevel="0" collapsed="false">
      <c r="A20" s="5" t="s">
        <v>123</v>
      </c>
      <c r="B20" s="16" t="s">
        <v>124</v>
      </c>
      <c r="C20" s="5" t="s">
        <v>125</v>
      </c>
      <c r="D20" s="5" t="s">
        <v>68</v>
      </c>
      <c r="E20" s="5" t="s">
        <v>122</v>
      </c>
    </row>
    <row r="21" customFormat="false" ht="23.85" hidden="false" customHeight="false" outlineLevel="0" collapsed="false">
      <c r="A21" s="5" t="s">
        <v>126</v>
      </c>
      <c r="B21" s="16" t="s">
        <v>127</v>
      </c>
      <c r="C21" s="5" t="s">
        <v>128</v>
      </c>
      <c r="D21" s="5" t="s">
        <v>68</v>
      </c>
      <c r="E21" s="5" t="s">
        <v>129</v>
      </c>
    </row>
    <row r="22" customFormat="false" ht="15" hidden="false" customHeight="false" outlineLevel="0" collapsed="false">
      <c r="A22" s="5" t="s">
        <v>130</v>
      </c>
      <c r="B22" s="16" t="s">
        <v>131</v>
      </c>
      <c r="C22" s="5" t="s">
        <v>132</v>
      </c>
      <c r="D22" s="5" t="s">
        <v>133</v>
      </c>
      <c r="E22" s="5" t="s">
        <v>129</v>
      </c>
    </row>
    <row r="23" customFormat="false" ht="23.85" hidden="false" customHeight="false" outlineLevel="0" collapsed="false">
      <c r="A23" s="5" t="s">
        <v>134</v>
      </c>
      <c r="B23" s="16" t="s">
        <v>135</v>
      </c>
      <c r="C23" s="5" t="s">
        <v>136</v>
      </c>
      <c r="D23" s="5" t="s">
        <v>68</v>
      </c>
      <c r="E23" s="5" t="s">
        <v>122</v>
      </c>
    </row>
    <row r="24" customFormat="false" ht="15" hidden="false" customHeight="false" outlineLevel="0" collapsed="false">
      <c r="A24" s="5" t="s">
        <v>137</v>
      </c>
      <c r="B24" s="16" t="s">
        <v>138</v>
      </c>
      <c r="C24" s="5" t="s">
        <v>139</v>
      </c>
      <c r="D24" s="5" t="s">
        <v>68</v>
      </c>
      <c r="E24" s="5" t="s">
        <v>122</v>
      </c>
    </row>
    <row r="25" customFormat="false" ht="15" hidden="false" customHeight="false" outlineLevel="0" collapsed="false">
      <c r="A25" s="5" t="s">
        <v>140</v>
      </c>
      <c r="B25" s="16" t="s">
        <v>141</v>
      </c>
      <c r="C25" s="5" t="s">
        <v>142</v>
      </c>
      <c r="D25" s="5" t="s">
        <v>68</v>
      </c>
      <c r="E25" s="5" t="s">
        <v>143</v>
      </c>
    </row>
    <row r="26" customFormat="false" ht="23.85" hidden="false" customHeight="false" outlineLevel="0" collapsed="false">
      <c r="A26" s="5" t="s">
        <v>144</v>
      </c>
      <c r="B26" s="16" t="s">
        <v>145</v>
      </c>
      <c r="C26" s="5" t="s">
        <v>146</v>
      </c>
      <c r="D26" s="5" t="s">
        <v>68</v>
      </c>
      <c r="E26" s="5" t="s">
        <v>147</v>
      </c>
    </row>
    <row r="27" customFormat="false" ht="15" hidden="false" customHeight="false" outlineLevel="0" collapsed="false">
      <c r="A27" s="5" t="s">
        <v>148</v>
      </c>
      <c r="B27" s="16" t="s">
        <v>149</v>
      </c>
      <c r="C27" s="5" t="s">
        <v>150</v>
      </c>
      <c r="D27" s="5" t="s">
        <v>68</v>
      </c>
      <c r="E27" s="5" t="s">
        <v>151</v>
      </c>
    </row>
    <row r="28" customFormat="false" ht="23.85" hidden="false" customHeight="false" outlineLevel="0" collapsed="false">
      <c r="A28" s="5" t="s">
        <v>152</v>
      </c>
      <c r="B28" s="16" t="s">
        <v>153</v>
      </c>
      <c r="C28" s="5" t="s">
        <v>154</v>
      </c>
      <c r="D28" s="5" t="s">
        <v>68</v>
      </c>
      <c r="E28" s="5" t="s">
        <v>155</v>
      </c>
    </row>
    <row r="29" customFormat="false" ht="23.85" hidden="false" customHeight="false" outlineLevel="0" collapsed="false">
      <c r="A29" s="5" t="s">
        <v>156</v>
      </c>
      <c r="B29" s="16" t="s">
        <v>157</v>
      </c>
      <c r="C29" s="5" t="s">
        <v>158</v>
      </c>
      <c r="D29" s="5" t="s">
        <v>159</v>
      </c>
      <c r="E29" s="5" t="s">
        <v>80</v>
      </c>
    </row>
    <row r="30" customFormat="false" ht="23.85" hidden="false" customHeight="false" outlineLevel="0" collapsed="false">
      <c r="A30" s="5" t="s">
        <v>160</v>
      </c>
      <c r="B30" s="16" t="s">
        <v>161</v>
      </c>
      <c r="C30" s="5" t="s">
        <v>162</v>
      </c>
      <c r="D30" s="5" t="s">
        <v>68</v>
      </c>
      <c r="E30" s="5" t="s">
        <v>163</v>
      </c>
    </row>
    <row r="31" customFormat="false" ht="15" hidden="false" customHeight="false" outlineLevel="0" collapsed="false">
      <c r="A31" s="5" t="s">
        <v>164</v>
      </c>
      <c r="B31" s="16" t="s">
        <v>165</v>
      </c>
      <c r="C31" s="5" t="s">
        <v>166</v>
      </c>
      <c r="D31" s="5" t="s">
        <v>68</v>
      </c>
      <c r="E31" s="5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4" t="s">
        <v>167</v>
      </c>
    </row>
    <row r="2" customFormat="false" ht="15" hidden="false" customHeight="false" outlineLevel="0" collapsed="false">
      <c r="A2" s="15" t="s">
        <v>168</v>
      </c>
    </row>
    <row r="4" customFormat="false" ht="15" hidden="false" customHeight="false" outlineLevel="0" collapsed="false">
      <c r="A4" s="4" t="s">
        <v>2</v>
      </c>
      <c r="B4" s="4" t="s">
        <v>169</v>
      </c>
      <c r="C4" s="4" t="s">
        <v>170</v>
      </c>
      <c r="D4" s="4" t="s">
        <v>171</v>
      </c>
      <c r="E4" s="4" t="s">
        <v>6</v>
      </c>
    </row>
    <row r="5" customFormat="false" ht="15" hidden="false" customHeight="false" outlineLevel="0" collapsed="false">
      <c r="A5" s="5" t="s">
        <v>96</v>
      </c>
      <c r="B5" s="5" t="s">
        <v>97</v>
      </c>
      <c r="C5" s="5" t="s">
        <v>172</v>
      </c>
      <c r="D5" s="5" t="s">
        <v>99</v>
      </c>
      <c r="E5" s="5" t="s">
        <v>173</v>
      </c>
    </row>
    <row r="6" customFormat="false" ht="15" hidden="false" customHeight="false" outlineLevel="0" collapsed="false">
      <c r="A6" s="5" t="s">
        <v>174</v>
      </c>
      <c r="B6" s="5" t="s">
        <v>175</v>
      </c>
      <c r="C6" s="5" t="s">
        <v>176</v>
      </c>
      <c r="D6" s="5" t="s">
        <v>99</v>
      </c>
      <c r="E6" s="5"/>
    </row>
    <row r="7" customFormat="false" ht="15" hidden="false" customHeight="false" outlineLevel="0" collapsed="false">
      <c r="A7" s="5" t="s">
        <v>177</v>
      </c>
      <c r="B7" s="5" t="s">
        <v>178</v>
      </c>
      <c r="C7" s="5" t="s">
        <v>172</v>
      </c>
      <c r="D7" s="5" t="s">
        <v>99</v>
      </c>
      <c r="E7" s="5"/>
    </row>
    <row r="8" customFormat="false" ht="15" hidden="false" customHeight="false" outlineLevel="0" collapsed="false">
      <c r="A8" s="5" t="s">
        <v>100</v>
      </c>
      <c r="B8" s="5" t="s">
        <v>101</v>
      </c>
      <c r="C8" s="5" t="s">
        <v>172</v>
      </c>
      <c r="D8" s="5" t="s">
        <v>99</v>
      </c>
      <c r="E8" s="5" t="s">
        <v>179</v>
      </c>
    </row>
    <row r="9" customFormat="false" ht="15" hidden="false" customHeight="false" outlineLevel="0" collapsed="false">
      <c r="A9" s="5" t="s">
        <v>103</v>
      </c>
      <c r="B9" s="5" t="s">
        <v>180</v>
      </c>
      <c r="C9" s="5" t="s">
        <v>176</v>
      </c>
      <c r="D9" s="5" t="s">
        <v>106</v>
      </c>
      <c r="E9" s="5" t="s">
        <v>181</v>
      </c>
    </row>
    <row r="10" customFormat="false" ht="15" hidden="false" customHeight="false" outlineLevel="0" collapsed="false">
      <c r="A10" s="5" t="s">
        <v>182</v>
      </c>
      <c r="B10" s="5" t="s">
        <v>183</v>
      </c>
      <c r="C10" s="5" t="s">
        <v>184</v>
      </c>
      <c r="D10" s="5" t="s">
        <v>185</v>
      </c>
      <c r="E10" s="5" t="s">
        <v>186</v>
      </c>
    </row>
    <row r="11" customFormat="false" ht="15" hidden="false" customHeight="false" outlineLevel="0" collapsed="false">
      <c r="A11" s="5" t="s">
        <v>187</v>
      </c>
      <c r="B11" s="5" t="s">
        <v>188</v>
      </c>
      <c r="C11" s="5" t="s">
        <v>189</v>
      </c>
      <c r="D11" s="5" t="s">
        <v>190</v>
      </c>
      <c r="E11" s="5" t="s">
        <v>191</v>
      </c>
    </row>
    <row r="12" customFormat="false" ht="15" hidden="false" customHeight="false" outlineLevel="0" collapsed="false">
      <c r="A12" s="5" t="s">
        <v>192</v>
      </c>
      <c r="B12" s="5" t="s">
        <v>120</v>
      </c>
      <c r="C12" s="5" t="s">
        <v>176</v>
      </c>
      <c r="D12" s="5" t="s">
        <v>122</v>
      </c>
      <c r="E12" s="5" t="s">
        <v>193</v>
      </c>
    </row>
    <row r="13" customFormat="false" ht="15" hidden="false" customHeight="false" outlineLevel="0" collapsed="false">
      <c r="A13" s="5" t="s">
        <v>194</v>
      </c>
      <c r="B13" s="5" t="s">
        <v>195</v>
      </c>
      <c r="C13" s="5" t="s">
        <v>196</v>
      </c>
      <c r="D13" s="5" t="s">
        <v>122</v>
      </c>
      <c r="E13" s="5" t="s">
        <v>197</v>
      </c>
    </row>
    <row r="14" customFormat="false" ht="23.85" hidden="false" customHeight="false" outlineLevel="0" collapsed="false">
      <c r="A14" s="5" t="s">
        <v>198</v>
      </c>
      <c r="B14" s="5" t="s">
        <v>199</v>
      </c>
      <c r="C14" s="5" t="s">
        <v>200</v>
      </c>
      <c r="D14" s="5" t="s">
        <v>129</v>
      </c>
      <c r="E14" s="5" t="s">
        <v>201</v>
      </c>
    </row>
    <row r="15" customFormat="false" ht="15" hidden="false" customHeight="false" outlineLevel="0" collapsed="false">
      <c r="A15" s="5" t="s">
        <v>134</v>
      </c>
      <c r="B15" s="5" t="s">
        <v>202</v>
      </c>
      <c r="C15" s="5" t="s">
        <v>176</v>
      </c>
      <c r="D15" s="5" t="s">
        <v>122</v>
      </c>
      <c r="E15" s="5"/>
    </row>
    <row r="16" customFormat="false" ht="15" hidden="false" customHeight="false" outlineLevel="0" collapsed="false">
      <c r="A16" s="5" t="s">
        <v>203</v>
      </c>
      <c r="B16" s="5" t="s">
        <v>204</v>
      </c>
      <c r="C16" s="5" t="s">
        <v>172</v>
      </c>
      <c r="D16" s="5" t="s">
        <v>122</v>
      </c>
      <c r="E16" s="5" t="s">
        <v>205</v>
      </c>
    </row>
    <row r="17" customFormat="false" ht="23.85" hidden="false" customHeight="false" outlineLevel="0" collapsed="false">
      <c r="A17" s="5" t="s">
        <v>206</v>
      </c>
      <c r="B17" s="5" t="s">
        <v>207</v>
      </c>
      <c r="C17" s="5" t="s">
        <v>208</v>
      </c>
      <c r="D17" s="5" t="s">
        <v>209</v>
      </c>
      <c r="E17" s="5" t="s">
        <v>210</v>
      </c>
    </row>
    <row r="18" customFormat="false" ht="15" hidden="false" customHeight="false" outlineLevel="0" collapsed="false">
      <c r="A18" s="5" t="s">
        <v>211</v>
      </c>
      <c r="B18" s="5" t="s">
        <v>212</v>
      </c>
      <c r="C18" s="5" t="s">
        <v>184</v>
      </c>
      <c r="D18" s="5" t="s">
        <v>209</v>
      </c>
      <c r="E18" s="5" t="s">
        <v>213</v>
      </c>
    </row>
    <row r="19" customFormat="false" ht="15" hidden="false" customHeight="false" outlineLevel="0" collapsed="false">
      <c r="A19" s="5" t="s">
        <v>214</v>
      </c>
      <c r="B19" s="5" t="s">
        <v>215</v>
      </c>
      <c r="C19" s="5" t="s">
        <v>176</v>
      </c>
      <c r="D19" s="5" t="s">
        <v>155</v>
      </c>
      <c r="E19" s="5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4" t="s">
        <v>217</v>
      </c>
    </row>
    <row r="2" customFormat="false" ht="15" hidden="false" customHeight="false" outlineLevel="0" collapsed="false">
      <c r="A2" s="15" t="s">
        <v>218</v>
      </c>
    </row>
    <row r="4" customFormat="false" ht="15" hidden="false" customHeight="false" outlineLevel="0" collapsed="false">
      <c r="A4" s="4" t="s">
        <v>219</v>
      </c>
      <c r="B4" s="4" t="s">
        <v>220</v>
      </c>
      <c r="C4" s="4" t="s">
        <v>221</v>
      </c>
      <c r="D4" s="4" t="s">
        <v>222</v>
      </c>
      <c r="E4" s="4" t="s">
        <v>223</v>
      </c>
      <c r="F4" s="4" t="s">
        <v>5</v>
      </c>
    </row>
    <row r="5" customFormat="false" ht="15" hidden="false" customHeight="false" outlineLevel="0" collapsed="false">
      <c r="A5" s="5" t="s">
        <v>224</v>
      </c>
      <c r="B5" s="5" t="s">
        <v>225</v>
      </c>
      <c r="C5" s="6" t="n">
        <v>1867</v>
      </c>
      <c r="D5" s="6" t="n">
        <v>1867</v>
      </c>
      <c r="E5" s="17" t="n">
        <v>0</v>
      </c>
      <c r="F5" s="5" t="str">
        <f aca="false">IF(ABS(D5-C5)&lt;=E5,"Match","Check")</f>
        <v>Match</v>
      </c>
    </row>
    <row r="6" customFormat="false" ht="15" hidden="false" customHeight="false" outlineLevel="0" collapsed="false">
      <c r="A6" s="5" t="s">
        <v>224</v>
      </c>
      <c r="B6" s="5" t="s">
        <v>226</v>
      </c>
      <c r="C6" s="6" t="n">
        <v>0</v>
      </c>
      <c r="D6" s="6" t="n">
        <v>0</v>
      </c>
      <c r="E6" s="17" t="n">
        <v>0</v>
      </c>
      <c r="F6" s="5" t="str">
        <f aca="false">IF(ABS(D6-C6)&lt;=E6,"Match","Check")</f>
        <v>Match</v>
      </c>
    </row>
    <row r="7" customFormat="false" ht="15" hidden="false" customHeight="false" outlineLevel="0" collapsed="false">
      <c r="A7" s="5" t="s">
        <v>224</v>
      </c>
      <c r="B7" s="5" t="s">
        <v>16</v>
      </c>
      <c r="C7" s="6" t="n">
        <v>1869</v>
      </c>
      <c r="D7" s="6" t="n">
        <v>1869</v>
      </c>
      <c r="E7" s="17" t="n">
        <v>0</v>
      </c>
      <c r="F7" s="5" t="str">
        <f aca="false">IF(ABS(D7-C7)&lt;=E7,"Match","Check")</f>
        <v>Match</v>
      </c>
    </row>
    <row r="8" customFormat="false" ht="15" hidden="false" customHeight="false" outlineLevel="0" collapsed="false">
      <c r="A8" s="5" t="s">
        <v>224</v>
      </c>
      <c r="B8" s="5" t="s">
        <v>17</v>
      </c>
      <c r="C8" s="6" t="n">
        <v>1769</v>
      </c>
      <c r="D8" s="6" t="n">
        <v>1769</v>
      </c>
      <c r="E8" s="17" t="n">
        <v>0</v>
      </c>
      <c r="F8" s="5" t="str">
        <f aca="false">IF(ABS(D8-C8)&lt;=E8,"Match","Check")</f>
        <v>Match</v>
      </c>
    </row>
    <row r="9" customFormat="false" ht="15" hidden="false" customHeight="false" outlineLevel="0" collapsed="false">
      <c r="A9" s="5" t="s">
        <v>224</v>
      </c>
      <c r="B9" s="5" t="s">
        <v>227</v>
      </c>
      <c r="C9" s="6" t="n">
        <v>233</v>
      </c>
      <c r="D9" s="6" t="n">
        <v>233</v>
      </c>
      <c r="E9" s="17" t="n">
        <v>0</v>
      </c>
      <c r="F9" s="5" t="str">
        <f aca="false">IF(ABS(D9-C9)&lt;=E9,"Match","Check")</f>
        <v>Match</v>
      </c>
    </row>
    <row r="10" customFormat="false" ht="15" hidden="false" customHeight="false" outlineLevel="0" collapsed="false">
      <c r="A10" s="5" t="s">
        <v>224</v>
      </c>
      <c r="B10" s="5" t="s">
        <v>228</v>
      </c>
      <c r="C10" s="6" t="n">
        <v>319</v>
      </c>
      <c r="D10" s="6" t="n">
        <v>319</v>
      </c>
      <c r="E10" s="17" t="n">
        <v>0</v>
      </c>
      <c r="F10" s="5" t="str">
        <f aca="false">IF(ABS(D10-C10)&lt;=E10,"Match","Check")</f>
        <v>Match</v>
      </c>
    </row>
    <row r="11" customFormat="false" ht="15" hidden="false" customHeight="false" outlineLevel="0" collapsed="false">
      <c r="A11" s="5" t="s">
        <v>224</v>
      </c>
      <c r="B11" s="5" t="s">
        <v>229</v>
      </c>
      <c r="C11" s="6" t="n">
        <v>0</v>
      </c>
      <c r="D11" s="6" t="n">
        <v>0</v>
      </c>
      <c r="E11" s="17" t="n">
        <v>0</v>
      </c>
      <c r="F11" s="5" t="str">
        <f aca="false">IF(ABS(D11-C11)&lt;=E11,"Match","Check")</f>
        <v>Match</v>
      </c>
    </row>
    <row r="12" customFormat="false" ht="15" hidden="false" customHeight="false" outlineLevel="0" collapsed="false">
      <c r="A12" s="5" t="s">
        <v>230</v>
      </c>
      <c r="B12" s="5" t="s">
        <v>231</v>
      </c>
      <c r="C12" s="6" t="n">
        <v>1858</v>
      </c>
      <c r="D12" s="6" t="n">
        <v>1858</v>
      </c>
      <c r="E12" s="17" t="n">
        <v>0</v>
      </c>
      <c r="F12" s="5" t="str">
        <f aca="false">IF(ABS(D12-C12)&lt;=E12,"Match","Check")</f>
        <v>Match</v>
      </c>
    </row>
    <row r="13" customFormat="false" ht="15" hidden="false" customHeight="false" outlineLevel="0" collapsed="false">
      <c r="A13" s="5" t="s">
        <v>230</v>
      </c>
      <c r="B13" s="5" t="s">
        <v>232</v>
      </c>
      <c r="C13" s="6" t="n">
        <v>1759</v>
      </c>
      <c r="D13" s="6" t="n">
        <v>1759</v>
      </c>
      <c r="E13" s="17" t="n">
        <v>0</v>
      </c>
      <c r="F13" s="5" t="str">
        <f aca="false">IF(ABS(D13-C13)&lt;=E13,"Match","Check")</f>
        <v>Match</v>
      </c>
    </row>
    <row r="14" customFormat="false" ht="15" hidden="false" customHeight="false" outlineLevel="0" collapsed="false">
      <c r="A14" s="5" t="s">
        <v>230</v>
      </c>
      <c r="B14" s="5" t="s">
        <v>233</v>
      </c>
      <c r="C14" s="6" t="n">
        <v>41</v>
      </c>
      <c r="D14" s="6" t="n">
        <v>41</v>
      </c>
      <c r="E14" s="17" t="n">
        <v>0</v>
      </c>
      <c r="F14" s="5" t="str">
        <f aca="false">IF(ABS(D14-C14)&lt;=E14,"Match","Check")</f>
        <v>Match</v>
      </c>
    </row>
    <row r="15" customFormat="false" ht="15" hidden="false" customHeight="false" outlineLevel="0" collapsed="false">
      <c r="A15" s="5" t="s">
        <v>230</v>
      </c>
      <c r="B15" s="5" t="s">
        <v>234</v>
      </c>
      <c r="C15" s="18" t="n">
        <v>0.0847</v>
      </c>
      <c r="D15" s="18" t="n">
        <v>0.0847</v>
      </c>
      <c r="E15" s="19" t="n">
        <v>5E-005</v>
      </c>
      <c r="F15" s="5" t="str">
        <f aca="false">IF(ABS(D15-C15)&lt;=E15,"Match","Check")</f>
        <v>Match</v>
      </c>
    </row>
    <row r="16" customFormat="false" ht="15" hidden="false" customHeight="false" outlineLevel="0" collapsed="false">
      <c r="A16" s="5" t="s">
        <v>230</v>
      </c>
      <c r="B16" s="5" t="s">
        <v>235</v>
      </c>
      <c r="C16" s="18" t="n">
        <v>0.0065</v>
      </c>
      <c r="D16" s="18" t="n">
        <v>0.0065</v>
      </c>
      <c r="E16" s="19" t="n">
        <v>5E-005</v>
      </c>
      <c r="F16" s="5" t="str">
        <f aca="false">IF(ABS(D16-C16)&lt;=E16,"Match","Check")</f>
        <v>Match</v>
      </c>
    </row>
    <row r="17" customFormat="false" ht="15" hidden="false" customHeight="false" outlineLevel="0" collapsed="false">
      <c r="A17" s="5" t="s">
        <v>230</v>
      </c>
      <c r="B17" s="5" t="s">
        <v>236</v>
      </c>
      <c r="C17" s="18" t="n">
        <v>0.0304</v>
      </c>
      <c r="D17" s="18" t="n">
        <v>0.0304</v>
      </c>
      <c r="E17" s="19" t="n">
        <v>5E-005</v>
      </c>
      <c r="F17" s="5" t="str">
        <f aca="false">IF(ABS(D17-C17)&lt;=E17,"Match","Check")</f>
        <v>Match</v>
      </c>
    </row>
    <row r="18" customFormat="false" ht="15" hidden="false" customHeight="false" outlineLevel="0" collapsed="false">
      <c r="A18" s="5" t="s">
        <v>151</v>
      </c>
      <c r="B18" s="5" t="s">
        <v>237</v>
      </c>
      <c r="C18" s="6" t="n">
        <v>1759</v>
      </c>
      <c r="D18" s="6" t="n">
        <v>1759</v>
      </c>
      <c r="E18" s="17" t="n">
        <v>0</v>
      </c>
      <c r="F18" s="5" t="str">
        <f aca="false">IF(ABS(D18-C18)&lt;=E18,"Match","Check")</f>
        <v>Match</v>
      </c>
    </row>
    <row r="19" customFormat="false" ht="15" hidden="false" customHeight="false" outlineLevel="0" collapsed="false">
      <c r="A19" s="5" t="s">
        <v>151</v>
      </c>
      <c r="B19" s="5" t="s">
        <v>238</v>
      </c>
      <c r="C19" s="6" t="n">
        <v>198</v>
      </c>
      <c r="D19" s="6" t="n">
        <v>198</v>
      </c>
      <c r="E19" s="17" t="n">
        <v>0</v>
      </c>
      <c r="F19" s="5" t="str">
        <f aca="false">IF(ABS(D19-C19)&lt;=E19,"Match","Check")</f>
        <v>Match</v>
      </c>
    </row>
    <row r="20" customFormat="false" ht="15" hidden="false" customHeight="false" outlineLevel="0" collapsed="false">
      <c r="A20" s="5" t="s">
        <v>151</v>
      </c>
      <c r="B20" s="5" t="s">
        <v>239</v>
      </c>
      <c r="C20" s="6" t="n">
        <v>318</v>
      </c>
      <c r="D20" s="6" t="n">
        <v>318</v>
      </c>
      <c r="E20" s="17" t="n">
        <v>0</v>
      </c>
      <c r="F20" s="5" t="str">
        <f aca="false">IF(ABS(D20-C20)&lt;=E20,"Match","Check")</f>
        <v>Match</v>
      </c>
    </row>
    <row r="21" customFormat="false" ht="15" hidden="false" customHeight="false" outlineLevel="0" collapsed="false">
      <c r="A21" s="5" t="s">
        <v>151</v>
      </c>
      <c r="B21" s="5" t="s">
        <v>240</v>
      </c>
      <c r="C21" s="6" t="n">
        <v>232</v>
      </c>
      <c r="D21" s="6" t="n">
        <v>232</v>
      </c>
      <c r="E21" s="17" t="n">
        <v>0</v>
      </c>
      <c r="F21" s="5" t="str">
        <f aca="false">IF(ABS(D21-C21)&lt;=E21,"Match","Check")</f>
        <v>Match</v>
      </c>
    </row>
    <row r="22" customFormat="false" ht="15" hidden="false" customHeight="false" outlineLevel="0" collapsed="false">
      <c r="A22" s="5" t="s">
        <v>151</v>
      </c>
      <c r="B22" s="5" t="s">
        <v>241</v>
      </c>
      <c r="C22" s="6" t="n">
        <v>41</v>
      </c>
      <c r="D22" s="6" t="n">
        <v>41</v>
      </c>
      <c r="E22" s="17" t="n">
        <v>0</v>
      </c>
      <c r="F22" s="5" t="str">
        <f aca="false">IF(ABS(D22-C22)&lt;=E22,"Match","Check")</f>
        <v>Match</v>
      </c>
    </row>
    <row r="23" customFormat="false" ht="15" hidden="false" customHeight="false" outlineLevel="0" collapsed="false">
      <c r="A23" s="5" t="s">
        <v>151</v>
      </c>
      <c r="B23" s="5" t="s">
        <v>242</v>
      </c>
      <c r="C23" s="6" t="n">
        <v>11</v>
      </c>
      <c r="D23" s="6" t="n">
        <v>11</v>
      </c>
      <c r="E23" s="17" t="n">
        <v>0</v>
      </c>
      <c r="F23" s="5" t="str">
        <f aca="false">IF(ABS(D23-C23)&lt;=E23,"Match","Check")</f>
        <v>Match</v>
      </c>
    </row>
    <row r="24" customFormat="false" ht="15" hidden="false" customHeight="false" outlineLevel="0" collapsed="false">
      <c r="A24" s="5" t="s">
        <v>151</v>
      </c>
      <c r="B24" s="5" t="s">
        <v>243</v>
      </c>
      <c r="C24" s="6" t="n">
        <v>38</v>
      </c>
      <c r="D24" s="6" t="n">
        <v>38</v>
      </c>
      <c r="E24" s="17" t="n">
        <v>0</v>
      </c>
      <c r="F24" s="5" t="str">
        <f aca="false">IF(ABS(D24-C24)&lt;=E24,"Match","Check")</f>
        <v>Match</v>
      </c>
    </row>
    <row r="26" customFormat="false" ht="15" hidden="false" customHeight="false" outlineLevel="0" collapsed="false">
      <c r="A26" s="20" t="s">
        <v>244</v>
      </c>
      <c r="D26" s="21" t="n">
        <f aca="false">COUNTIF(F5:F24,"Match")</f>
        <v>20</v>
      </c>
    </row>
    <row r="27" customFormat="false" ht="15" hidden="false" customHeight="false" outlineLevel="0" collapsed="false">
      <c r="A27" s="20" t="s">
        <v>245</v>
      </c>
      <c r="D27" s="21" t="n">
        <f aca="false">COUNTA(F5:F24)</f>
        <v>20</v>
      </c>
    </row>
    <row r="28" customFormat="false" ht="15" hidden="false" customHeight="false" outlineLevel="0" collapsed="false">
      <c r="A28" s="15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2026-10-04T02:14:17Z</dcterms:created>
  <dc:creator>openpyxl</dc:creator>
  <dc:description/>
  <dc:language>en-US</dc:language>
  <cp:lastModifiedBy/>
  <dcterms:modified xsi:type="dcterms:W3CDTF">2026-10-16T02:36:15Z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